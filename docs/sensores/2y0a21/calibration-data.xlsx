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fit-my.sharepoint.com/personal/dcasta25_eafit_edu_co/Documents/Seafile/Investigación/LEGO Mindstorms ~ Hacking/!docs/docs/sensores/2y0a21/"/>
    </mc:Choice>
  </mc:AlternateContent>
  <xr:revisionPtr revIDLastSave="702" documentId="8_{2E72F765-347E-4534-8A0E-7436BD5FE341}" xr6:coauthVersionLast="47" xr6:coauthVersionMax="47" xr10:uidLastSave="{D8F69192-B7F1-4AC9-AA4D-780C41F14AAA}"/>
  <bookViews>
    <workbookView xWindow="-108" yWindow="-108" windowWidth="23256" windowHeight="12456" xr2:uid="{5B73C515-B9B2-4E3E-9D41-72226B672BD9}"/>
  </bookViews>
  <sheets>
    <sheet name="Sheet1" sheetId="1" r:id="rId1"/>
  </sheets>
  <definedNames>
    <definedName name="gain">Sheet1!$G$17</definedName>
    <definedName name="goal">Sheet1!$G$19</definedName>
    <definedName name="offset">Sheet1!$G$16</definedName>
    <definedName name="parameters">Sheet1!$G$16:$G$18</definedName>
    <definedName name="power">Sheet1!$G$18</definedName>
    <definedName name="solver_adj" localSheetId="0" hidden="1">Sheet1!$G$16:$G$18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Sheet1!$G$19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G2" i="1" s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F10" i="1" s="1"/>
  <c r="E11" i="1"/>
  <c r="G11" i="1" s="1"/>
  <c r="B3" i="1"/>
  <c r="B4" i="1"/>
  <c r="B5" i="1"/>
  <c r="B6" i="1"/>
  <c r="B7" i="1"/>
  <c r="B8" i="1"/>
  <c r="B9" i="1"/>
  <c r="B10" i="1"/>
  <c r="B11" i="1"/>
  <c r="B2" i="1"/>
  <c r="D3" i="1"/>
  <c r="D4" i="1"/>
  <c r="D5" i="1"/>
  <c r="D6" i="1"/>
  <c r="D7" i="1"/>
  <c r="D8" i="1"/>
  <c r="D9" i="1"/>
  <c r="D10" i="1"/>
  <c r="D11" i="1"/>
  <c r="D2" i="1"/>
  <c r="G10" i="1" l="1"/>
  <c r="F11" i="1"/>
  <c r="F2" i="1"/>
  <c r="F6" i="1"/>
  <c r="F4" i="1"/>
  <c r="F8" i="1"/>
  <c r="F9" i="1"/>
  <c r="F7" i="1"/>
  <c r="F3" i="1"/>
  <c r="F5" i="1" l="1"/>
  <c r="G19" i="1" s="1"/>
</calcChain>
</file>

<file path=xl/sharedStrings.xml><?xml version="1.0" encoding="utf-8"?>
<sst xmlns="http://schemas.openxmlformats.org/spreadsheetml/2006/main" count="13" uniqueCount="13">
  <si>
    <t>A</t>
  </si>
  <si>
    <t>B</t>
  </si>
  <si>
    <t>C</t>
  </si>
  <si>
    <t>Distance L (cm)</t>
  </si>
  <si>
    <t>Inverse of Distance (1/cm)</t>
  </si>
  <si>
    <t xml:space="preserve"> Output Voltaje (V)</t>
  </si>
  <si>
    <t>Int Measurement m</t>
  </si>
  <si>
    <t>Estimated Distance L*</t>
  </si>
  <si>
    <r>
      <t>Squared Error (L-L*)</t>
    </r>
    <r>
      <rPr>
        <sz val="11"/>
        <color theme="1"/>
        <rFont val="Aptos Narrow"/>
        <family val="2"/>
      </rPr>
      <t>²</t>
    </r>
  </si>
  <si>
    <t>MSE</t>
  </si>
  <si>
    <t>Percentage Error (%)</t>
  </si>
  <si>
    <t>Values</t>
  </si>
  <si>
    <t>Optimization  
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</si>
</sst>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" fontId="0" fillId="0" borderId="0" xfId="0" applyNumberFormat="1"/>
    <xf numFmtId="167" fontId="0" fillId="0" borderId="0" xfId="1" applyNumberFormat="1" applyFon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</dxf>
    <dxf>
      <numFmt numFmtId="164" formatCode="0.00000"/>
    </dxf>
    <dxf>
      <numFmt numFmtId="2" formatCode="0.00"/>
    </dxf>
    <dxf>
      <numFmt numFmtId="1" formatCode="0"/>
    </dxf>
    <dxf>
      <numFmt numFmtId="166" formatCode="0.000"/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Sheet1!$A$1</c:f>
              <c:strCache>
                <c:ptCount val="1"/>
                <c:pt idx="0">
                  <c:v>Distance L (cm)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Sheet1!$D$2:$D$11</c:f>
              <c:numCache>
                <c:formatCode>0</c:formatCode>
                <c:ptCount val="10"/>
                <c:pt idx="0">
                  <c:v>80.646296430464488</c:v>
                </c:pt>
                <c:pt idx="1">
                  <c:v>123.39854906673011</c:v>
                </c:pt>
                <c:pt idx="2">
                  <c:v>150.60447410407428</c:v>
                </c:pt>
                <c:pt idx="3">
                  <c:v>188.49851789827318</c:v>
                </c:pt>
                <c:pt idx="4">
                  <c:v>219.59106190053973</c:v>
                </c:pt>
                <c:pt idx="5">
                  <c:v>269.14477726354528</c:v>
                </c:pt>
                <c:pt idx="6">
                  <c:v>336.18807411014467</c:v>
                </c:pt>
                <c:pt idx="7">
                  <c:v>477.07613053008538</c:v>
                </c:pt>
                <c:pt idx="8">
                  <c:v>561.60895326249147</c:v>
                </c:pt>
                <c:pt idx="9">
                  <c:v>608.24776926589163</c:v>
                </c:pt>
              </c:numCache>
            </c:numRef>
          </c:xVal>
          <c:yVal>
            <c:numRef>
              <c:f>Sheet1!$A$2:$A$11</c:f>
              <c:numCache>
                <c:formatCode>General</c:formatCode>
                <c:ptCount val="10"/>
                <c:pt idx="0">
                  <c:v>80</c:v>
                </c:pt>
                <c:pt idx="1">
                  <c:v>50</c:v>
                </c:pt>
                <c:pt idx="2">
                  <c:v>40</c:v>
                </c:pt>
                <c:pt idx="3">
                  <c:v>30</c:v>
                </c:pt>
                <c:pt idx="4">
                  <c:v>25</c:v>
                </c:pt>
                <c:pt idx="5">
                  <c:v>20</c:v>
                </c:pt>
                <c:pt idx="6">
                  <c:v>15</c:v>
                </c:pt>
                <c:pt idx="7">
                  <c:v>10</c:v>
                </c:pt>
                <c:pt idx="8">
                  <c:v>8</c:v>
                </c:pt>
                <c:pt idx="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17-4EBB-B2C7-90FA4DA02534}"/>
            </c:ext>
          </c:extLst>
        </c:ser>
        <c:ser>
          <c:idx val="0"/>
          <c:order val="1"/>
          <c:tx>
            <c:strRef>
              <c:f>Sheet1!$E$1</c:f>
              <c:strCache>
                <c:ptCount val="1"/>
                <c:pt idx="0">
                  <c:v>Estimated Distance L*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Sheet1!$D$2:$D$11</c:f>
              <c:numCache>
                <c:formatCode>0</c:formatCode>
                <c:ptCount val="10"/>
                <c:pt idx="0">
                  <c:v>80.646296430464488</c:v>
                </c:pt>
                <c:pt idx="1">
                  <c:v>123.39854906673011</c:v>
                </c:pt>
                <c:pt idx="2">
                  <c:v>150.60447410407428</c:v>
                </c:pt>
                <c:pt idx="3">
                  <c:v>188.49851789827318</c:v>
                </c:pt>
                <c:pt idx="4">
                  <c:v>219.59106190053973</c:v>
                </c:pt>
                <c:pt idx="5">
                  <c:v>269.14477726354528</c:v>
                </c:pt>
                <c:pt idx="6">
                  <c:v>336.18807411014467</c:v>
                </c:pt>
                <c:pt idx="7">
                  <c:v>477.07613053008538</c:v>
                </c:pt>
                <c:pt idx="8">
                  <c:v>561.60895326249147</c:v>
                </c:pt>
                <c:pt idx="9">
                  <c:v>608.24776926589163</c:v>
                </c:pt>
              </c:numCache>
            </c:numRef>
          </c:xVal>
          <c:yVal>
            <c:numRef>
              <c:f>Sheet1!$E$2:$E$11</c:f>
              <c:numCache>
                <c:formatCode>0.00</c:formatCode>
                <c:ptCount val="10"/>
                <c:pt idx="0">
                  <c:v>80.060419259670624</c:v>
                </c:pt>
                <c:pt idx="1">
                  <c:v>49.896850005087572</c:v>
                </c:pt>
                <c:pt idx="2">
                  <c:v>39.63025484796561</c:v>
                </c:pt>
                <c:pt idx="3">
                  <c:v>30.406355671811077</c:v>
                </c:pt>
                <c:pt idx="4">
                  <c:v>25.320201299717443</c:v>
                </c:pt>
                <c:pt idx="5">
                  <c:v>19.779270988685809</c:v>
                </c:pt>
                <c:pt idx="6">
                  <c:v>15.04968449521858</c:v>
                </c:pt>
                <c:pt idx="7">
                  <c:v>9.7351041193842072</c:v>
                </c:pt>
                <c:pt idx="8">
                  <c:v>7.9315211326850461</c:v>
                </c:pt>
                <c:pt idx="9">
                  <c:v>7.1727374709871068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17-4EBB-B2C7-90FA4DA02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94112"/>
        <c:axId val="158497472"/>
      </c:scatterChart>
      <c:valAx>
        <c:axId val="158494112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Microcontroller Measurement (integer)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8497472"/>
        <c:crosses val="autoZero"/>
        <c:crossBetween val="midCat"/>
      </c:valAx>
      <c:valAx>
        <c:axId val="15849747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Distance to reflective object 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8494112"/>
        <c:crosses val="autoZero"/>
        <c:crossBetween val="midCat"/>
      </c:valAx>
      <c:spPr>
        <a:noFill/>
        <a:ln w="19050"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937260</xdr:colOff>
      <xdr:row>14</xdr:row>
      <xdr:rowOff>3810</xdr:rowOff>
    </xdr:from>
    <xdr:ext cx="4827732" cy="19153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CF87D4C-7CCB-D326-2735-BBCBF660E741}"/>
                </a:ext>
              </a:extLst>
            </xdr:cNvPr>
            <xdr:cNvSpPr txBox="1"/>
          </xdr:nvSpPr>
          <xdr:spPr>
            <a:xfrm>
              <a:off x="937260" y="2564130"/>
              <a:ext cx="4827732" cy="1915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GB" sz="6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GB" sz="6000" b="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</m:acc>
                    <m:r>
                      <a:rPr lang="en-GB" sz="6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6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6000" b="0" i="1">
                            <a:latin typeface="Cambria Math" panose="02040503050406030204" pitchFamily="18" charset="0"/>
                          </a:rPr>
                          <m:t>𝐵</m:t>
                        </m:r>
                      </m:num>
                      <m:den>
                        <m:sSup>
                          <m:sSupPr>
                            <m:ctrlPr>
                              <a:rPr lang="en-GB" sz="6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GB" sz="6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GB" sz="60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GB" sz="60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GB" sz="6000" b="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</m:d>
                          </m:e>
                          <m:sup>
                            <m:r>
                              <a:rPr lang="en-GB" sz="60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GB" sz="6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CF87D4C-7CCB-D326-2735-BBCBF660E741}"/>
                </a:ext>
              </a:extLst>
            </xdr:cNvPr>
            <xdr:cNvSpPr txBox="1"/>
          </xdr:nvSpPr>
          <xdr:spPr>
            <a:xfrm>
              <a:off x="937260" y="2564130"/>
              <a:ext cx="4827732" cy="1915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6000" b="0" i="0">
                  <a:latin typeface="Cambria Math" panose="02040503050406030204" pitchFamily="18" charset="0"/>
                </a:rPr>
                <a:t>𝐿 ̂=𝐵/(𝑚+𝐴)^𝐶 </a:t>
              </a:r>
              <a:endParaRPr lang="en-GB" sz="6000"/>
            </a:p>
          </xdr:txBody>
        </xdr:sp>
      </mc:Fallback>
    </mc:AlternateContent>
    <xdr:clientData/>
  </xdr:oneCellAnchor>
  <xdr:twoCellAnchor>
    <xdr:from>
      <xdr:col>7</xdr:col>
      <xdr:colOff>266700</xdr:colOff>
      <xdr:row>1</xdr:row>
      <xdr:rowOff>26670</xdr:rowOff>
    </xdr:from>
    <xdr:to>
      <xdr:col>13</xdr:col>
      <xdr:colOff>251460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83DDCC-07FA-92E1-CEE9-FED5F1384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33ABC-E57E-4454-B4E3-F538385ECBD6}" name="Table1" displayName="Table1" ref="A1:G11" totalsRowShown="0">
  <autoFilter ref="A1:G11" xr:uid="{B1F33ABC-E57E-4454-B4E3-F538385ECBD6}"/>
  <tableColumns count="7">
    <tableColumn id="1" xr3:uid="{12081861-725B-40DC-8B46-F864BC70FDFD}" name="Distance L (cm)"/>
    <tableColumn id="2" xr3:uid="{D68859E9-24E6-4BF8-A7D3-93B56E76802E}" name="Inverse of Distance (1/cm)" dataDxfId="5">
      <calculatedColumnFormula>1/A2</calculatedColumnFormula>
    </tableColumn>
    <tableColumn id="3" xr3:uid="{7A8F0B90-E27E-48B8-AF21-D434D593C3A2}" name=" Output Voltaje (V)" dataDxfId="4"/>
    <tableColumn id="4" xr3:uid="{8F66F6A6-2329-4522-8852-C6F6A00BA7C4}" name="Int Measurement m" dataDxfId="3">
      <calculatedColumnFormula>C2*1023/5</calculatedColumnFormula>
    </tableColumn>
    <tableColumn id="5" xr3:uid="{AABFC82F-0FD3-43C1-B7BD-3E3610716CB6}" name="Estimated Distance L*" dataDxfId="2">
      <calculatedColumnFormula>gain/POWER(D2+offset,power)</calculatedColumnFormula>
    </tableColumn>
    <tableColumn id="6" xr3:uid="{0653D82D-D298-4AC6-B1B3-AE58C3743E5F}" name="Squared Error (L-L*)²" dataDxfId="1">
      <calculatedColumnFormula>POWER(A2-E2,2)</calculatedColumnFormula>
    </tableColumn>
    <tableColumn id="7" xr3:uid="{2C590F70-0AF9-4D55-A9FB-CE533019C784}" name="Percentage Error (%)" dataDxfId="0" dataCellStyle="Percent">
      <calculatedColumnFormula>(E2-A2)/A2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DD1E6E-86DF-482E-82B2-E4F33B4CACD8}" name="Table2" displayName="Table2" ref="F15:G19" totalsRowShown="0">
  <autoFilter ref="F15:G19" xr:uid="{99DD1E6E-86DF-482E-82B2-E4F33B4CACD8}"/>
  <tableColumns count="2">
    <tableColumn id="1" xr3:uid="{83FD8D4A-2C40-427B-A757-E488508A3201}" name="Optimization  _x000a_Parameters"/>
    <tableColumn id="2" xr3:uid="{55D4D31D-56F9-42BD-B96D-A1FFE02E2661}" name="Valu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CC3D-BDEB-4529-8F4C-8A8358190E57}">
  <dimension ref="A1:G19"/>
  <sheetViews>
    <sheetView showGridLines="0" tabSelected="1" topLeftCell="E1" zoomScale="160" zoomScaleNormal="160" workbookViewId="0">
      <selection activeCell="O13" sqref="O13"/>
    </sheetView>
  </sheetViews>
  <sheetFormatPr defaultRowHeight="14.4" x14ac:dyDescent="0.3"/>
  <cols>
    <col min="1" max="1" width="16.21875" bestFit="1" customWidth="1"/>
    <col min="2" max="2" width="25.109375" bestFit="1" customWidth="1"/>
    <col min="3" max="3" width="18.44140625" bestFit="1" customWidth="1"/>
    <col min="4" max="4" width="19.21875" bestFit="1" customWidth="1"/>
    <col min="5" max="5" width="21.88671875" bestFit="1" customWidth="1"/>
    <col min="6" max="6" width="20.5546875" bestFit="1" customWidth="1"/>
    <col min="7" max="7" width="20.33203125" bestFit="1" customWidth="1"/>
  </cols>
  <sheetData>
    <row r="1" spans="1: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10</v>
      </c>
    </row>
    <row r="2" spans="1:7" x14ac:dyDescent="0.3">
      <c r="A2">
        <v>80</v>
      </c>
      <c r="B2" s="2">
        <f>1/A2</f>
        <v>1.2500000000000001E-2</v>
      </c>
      <c r="C2" s="3">
        <v>0.39416567170314998</v>
      </c>
      <c r="D2" s="5">
        <f t="shared" ref="D2:D11" si="0">C2*1023/5</f>
        <v>80.646296430464488</v>
      </c>
      <c r="E2" s="4">
        <f t="shared" ref="E2:E11" si="1">gain/POWER(D2+offset,power)</f>
        <v>80.060419259670624</v>
      </c>
      <c r="F2" s="1">
        <f>POWER(A2-E2,2)</f>
        <v>3.6504869391463055E-3</v>
      </c>
      <c r="G2" s="6">
        <f>(E2-A2)/A2</f>
        <v>7.5524074588280139E-4</v>
      </c>
    </row>
    <row r="3" spans="1:7" x14ac:dyDescent="0.3">
      <c r="A3">
        <v>50</v>
      </c>
      <c r="B3" s="2">
        <f t="shared" ref="B3:B11" si="2">1/A3</f>
        <v>0.02</v>
      </c>
      <c r="C3" s="3">
        <v>0.60312096318049901</v>
      </c>
      <c r="D3" s="5">
        <f t="shared" si="0"/>
        <v>123.39854906673011</v>
      </c>
      <c r="E3" s="4">
        <f t="shared" si="1"/>
        <v>49.896850005087572</v>
      </c>
      <c r="F3" s="1">
        <f t="shared" ref="F3:F11" si="3">POWER(A3-E3,2)</f>
        <v>1.0639921450433954E-2</v>
      </c>
      <c r="G3" s="6">
        <f t="shared" ref="G3:G11" si="4">(E3-A3)/A3</f>
        <v>-2.062999898248563E-3</v>
      </c>
    </row>
    <row r="4" spans="1:7" x14ac:dyDescent="0.3">
      <c r="A4">
        <v>40</v>
      </c>
      <c r="B4" s="2">
        <f t="shared" si="2"/>
        <v>2.5000000000000001E-2</v>
      </c>
      <c r="C4" s="3">
        <v>0.73609224879801705</v>
      </c>
      <c r="D4" s="5">
        <f t="shared" si="0"/>
        <v>150.60447410407428</v>
      </c>
      <c r="E4" s="4">
        <f t="shared" si="1"/>
        <v>39.63025484796561</v>
      </c>
      <c r="F4" s="1">
        <f t="shared" si="3"/>
        <v>0.13671147745293447</v>
      </c>
      <c r="G4" s="6">
        <f t="shared" si="4"/>
        <v>-9.2436288008597607E-3</v>
      </c>
    </row>
    <row r="5" spans="1:7" x14ac:dyDescent="0.3">
      <c r="A5">
        <v>30</v>
      </c>
      <c r="B5" s="2">
        <f t="shared" si="2"/>
        <v>3.3333333333333333E-2</v>
      </c>
      <c r="C5" s="3">
        <v>0.92130262902381799</v>
      </c>
      <c r="D5" s="5">
        <f t="shared" si="0"/>
        <v>188.49851789827318</v>
      </c>
      <c r="E5" s="4">
        <f t="shared" si="1"/>
        <v>30.406355671811077</v>
      </c>
      <c r="F5" s="1">
        <f t="shared" si="3"/>
        <v>0.16512493201303208</v>
      </c>
      <c r="G5" s="6">
        <f t="shared" si="4"/>
        <v>1.3545189060369249E-2</v>
      </c>
    </row>
    <row r="6" spans="1:7" x14ac:dyDescent="0.3">
      <c r="A6">
        <v>25</v>
      </c>
      <c r="B6" s="2">
        <f t="shared" si="2"/>
        <v>0.04</v>
      </c>
      <c r="C6" s="3">
        <v>1.07327009726559</v>
      </c>
      <c r="D6" s="5">
        <f t="shared" si="0"/>
        <v>219.59106190053973</v>
      </c>
      <c r="E6" s="4">
        <f t="shared" si="1"/>
        <v>25.320201299717443</v>
      </c>
      <c r="F6" s="1">
        <f t="shared" si="3"/>
        <v>0.10252887234073965</v>
      </c>
      <c r="G6" s="6">
        <f t="shared" si="4"/>
        <v>1.2808051988697713E-2</v>
      </c>
    </row>
    <row r="7" spans="1:7" x14ac:dyDescent="0.3">
      <c r="A7">
        <v>20</v>
      </c>
      <c r="B7" s="2">
        <f t="shared" si="2"/>
        <v>0.05</v>
      </c>
      <c r="C7" s="3">
        <v>1.3154681195676701</v>
      </c>
      <c r="D7" s="5">
        <f t="shared" si="0"/>
        <v>269.14477726354528</v>
      </c>
      <c r="E7" s="4">
        <f t="shared" si="1"/>
        <v>19.779270988685809</v>
      </c>
      <c r="F7" s="1">
        <f t="shared" si="3"/>
        <v>4.8721296435740198E-2</v>
      </c>
      <c r="G7" s="6">
        <f t="shared" si="4"/>
        <v>-1.1036450565709543E-2</v>
      </c>
    </row>
    <row r="8" spans="1:7" x14ac:dyDescent="0.3">
      <c r="A8">
        <v>15</v>
      </c>
      <c r="B8" s="2">
        <f t="shared" si="2"/>
        <v>6.6666666666666666E-2</v>
      </c>
      <c r="C8" s="3">
        <v>1.64314796730276</v>
      </c>
      <c r="D8" s="5">
        <f t="shared" si="0"/>
        <v>336.18807411014467</v>
      </c>
      <c r="E8" s="4">
        <f t="shared" si="1"/>
        <v>15.04968449521858</v>
      </c>
      <c r="F8" s="1">
        <f t="shared" si="3"/>
        <v>2.4685490651250972E-3</v>
      </c>
      <c r="G8" s="6">
        <f t="shared" si="4"/>
        <v>3.3122996812386656E-3</v>
      </c>
    </row>
    <row r="9" spans="1:7" x14ac:dyDescent="0.3">
      <c r="A9">
        <v>10</v>
      </c>
      <c r="B9" s="2">
        <f t="shared" si="2"/>
        <v>0.1</v>
      </c>
      <c r="C9" s="3">
        <v>2.3317503935976802</v>
      </c>
      <c r="D9" s="5">
        <f t="shared" si="0"/>
        <v>477.07613053008538</v>
      </c>
      <c r="E9" s="4">
        <f t="shared" si="1"/>
        <v>9.7351041193842072</v>
      </c>
      <c r="F9" s="1">
        <f t="shared" si="3"/>
        <v>7.0169827567216375E-2</v>
      </c>
      <c r="G9" s="6">
        <f t="shared" si="4"/>
        <v>-2.6489588061579285E-2</v>
      </c>
    </row>
    <row r="10" spans="1:7" x14ac:dyDescent="0.3">
      <c r="A10">
        <v>8</v>
      </c>
      <c r="B10" s="2">
        <f t="shared" si="2"/>
        <v>0.125</v>
      </c>
      <c r="C10" s="3">
        <v>2.74491179502684</v>
      </c>
      <c r="D10" s="5">
        <f t="shared" si="0"/>
        <v>561.60895326249147</v>
      </c>
      <c r="E10" s="4">
        <f t="shared" si="1"/>
        <v>7.9315211326850461</v>
      </c>
      <c r="F10" s="1">
        <f t="shared" si="3"/>
        <v>4.6893552687390606E-3</v>
      </c>
      <c r="G10" s="6">
        <f t="shared" si="4"/>
        <v>-8.5598584143692369E-3</v>
      </c>
    </row>
    <row r="11" spans="1:7" x14ac:dyDescent="0.3">
      <c r="A11">
        <v>7</v>
      </c>
      <c r="B11" s="2">
        <f t="shared" si="2"/>
        <v>0.14285714285714285</v>
      </c>
      <c r="C11" s="3">
        <v>2.9728629973895</v>
      </c>
      <c r="D11" s="5">
        <f t="shared" si="0"/>
        <v>608.24776926589163</v>
      </c>
      <c r="E11" s="4">
        <f t="shared" si="1"/>
        <v>7.1727374709871068</v>
      </c>
      <c r="F11" s="1">
        <f t="shared" si="3"/>
        <v>2.9838233883021561E-2</v>
      </c>
      <c r="G11" s="6">
        <f t="shared" si="4"/>
        <v>2.4676781569586685E-2</v>
      </c>
    </row>
    <row r="14" spans="1:7" x14ac:dyDescent="0.3">
      <c r="G14" s="1"/>
    </row>
    <row r="15" spans="1:7" ht="28.8" x14ac:dyDescent="0.3">
      <c r="F15" s="7" t="s">
        <v>12</v>
      </c>
      <c r="G15" t="s">
        <v>11</v>
      </c>
    </row>
    <row r="16" spans="1:7" x14ac:dyDescent="0.3">
      <c r="F16" t="s">
        <v>0</v>
      </c>
      <c r="G16">
        <v>16.456602602710809</v>
      </c>
    </row>
    <row r="17" spans="6:7" x14ac:dyDescent="0.3">
      <c r="F17" t="s">
        <v>1</v>
      </c>
      <c r="G17">
        <v>30119.671883520001</v>
      </c>
    </row>
    <row r="18" spans="6:7" x14ac:dyDescent="0.3">
      <c r="F18" t="s">
        <v>2</v>
      </c>
      <c r="G18">
        <v>1.2959896591098887</v>
      </c>
    </row>
    <row r="19" spans="6:7" x14ac:dyDescent="0.3">
      <c r="F19" t="s">
        <v>9</v>
      </c>
      <c r="G19" s="1">
        <f>AVERAGE(F2:F11)</f>
        <v>5.7454295241612871E-2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gain</vt:lpstr>
      <vt:lpstr>goal</vt:lpstr>
      <vt:lpstr>offset</vt:lpstr>
      <vt:lpstr>parameters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Davinson Castaño Cano</dc:creator>
  <cp:lastModifiedBy>Davinson Castaño Cano</cp:lastModifiedBy>
  <dcterms:created xsi:type="dcterms:W3CDTF">2025-12-05T16:07:42Z</dcterms:created>
  <dcterms:modified xsi:type="dcterms:W3CDTF">2025-12-09T16:42:11Z</dcterms:modified>
</cp:coreProperties>
</file>